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<sst xmlns="http://schemas.openxmlformats.org/spreadsheetml/2006/main" count="31" uniqueCount="31">
  <si>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序号</t>
  </si>
  <si>
    <t>工号</t>
  </si>
  <si>
    <t>姓名</t>
  </si>
  <si>
    <t>证件号</t>
  </si>
  <si>
    <t>部门</t>
  </si>
  <si>
    <t>养老
基数</t>
  </si>
  <si>
    <t>养老
单位缴费</t>
  </si>
  <si>
    <t>养老
个人缴费</t>
  </si>
  <si>
    <t>失业
单位缴费</t>
  </si>
  <si>
    <t>失业
个人缴费</t>
  </si>
  <si>
    <t>工伤
单位缴费</t>
  </si>
  <si>
    <t>医疗
基数</t>
  </si>
  <si>
    <t>医疗
单位缴费</t>
  </si>
  <si>
    <t>医疗
个人缴费</t>
  </si>
  <si>
    <t>医疗
单位大额</t>
  </si>
  <si>
    <t>医疗
个人大额</t>
  </si>
  <si>
    <t>公积金
基数</t>
  </si>
  <si>
    <t>公积金
单位缴费</t>
  </si>
  <si>
    <t>公积金
个人缴费</t>
  </si>
  <si>
    <t>生育险
基数</t>
  </si>
  <si>
    <t>生育险
单位缴费</t>
  </si>
  <si>
    <t>采暖补贴
基数</t>
  </si>
  <si>
    <t>采暖补贴
单位缴费</t>
  </si>
  <si>
    <t>个人
缴费合计</t>
  </si>
  <si>
    <t>单位
缴费合计</t>
  </si>
  <si>
    <t>单位个人
缴费合计</t>
  </si>
  <si>
    <t>备注</t>
  </si>
  <si>
    <t>王祥</t>
  </si>
  <si>
    <t>青岛</t>
  </si>
  <si>
    <t>2月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</si>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</sst>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_);[Red]\(0\)"/>
    <numFmt numFmtId="178" formatCode="0_ "/>
    <numFmt numFmtId="179" formatCode="0.00_ "/>
    <numFmt numFmtId="180" formatCode="0.0000_);[Red]\(0.0000\)"/>
    <numFmt numFmtId="181" formatCode="0.000_);[Red]\(0.000\)"/>
  </numFmts>
  <fonts count="27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9"/>
      <name val="宋体"/>
      <charset val="134"/>
      <scheme val="minor"/>
    </font>
    <font>
      <b/>
      <sz val="10"/>
      <name val="宋体"/>
      <charset val="134"/>
      <scheme val="minor"/>
    </font>
    <font>
      <sz val="9"/>
      <name val="宋体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CD5B4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 applyBorder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0" borderId="5" applyNumberFormat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8" fillId="12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6" fillId="0" borderId="0" applyBorder="0">
      <alignment vertical="center"/>
    </xf>
    <xf numFmtId="0" fontId="26" fillId="0" borderId="0">
      <protection locked="0"/>
    </xf>
    <xf numFmtId="0" fontId="1" fillId="0" borderId="0" applyBorder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0" fontId="3" fillId="2" borderId="1" xfId="51" applyFont="1" applyFill="1" applyBorder="1" applyAlignment="1">
      <alignment horizontal="center" vertical="center" wrapText="1"/>
    </xf>
    <xf numFmtId="49" fontId="4" fillId="2" borderId="1" xfId="51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49" fontId="6" fillId="4" borderId="1" xfId="51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vertical="center"/>
    </xf>
    <xf numFmtId="0" fontId="5" fillId="0" borderId="0" xfId="0" applyFont="1" applyFill="1" applyAlignment="1">
      <alignment horizontal="center" vertical="center"/>
    </xf>
    <xf numFmtId="177" fontId="3" fillId="4" borderId="1" xfId="51" applyNumberFormat="1" applyFont="1" applyFill="1" applyBorder="1" applyAlignment="1">
      <alignment horizontal="center" vertical="center" wrapText="1"/>
    </xf>
    <xf numFmtId="176" fontId="3" fillId="2" borderId="1" xfId="51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77" fontId="5" fillId="6" borderId="1" xfId="0" applyNumberFormat="1" applyFont="1" applyFill="1" applyBorder="1" applyAlignment="1">
      <alignment horizontal="center" vertical="center" wrapText="1"/>
    </xf>
    <xf numFmtId="176" fontId="5" fillId="7" borderId="1" xfId="0" applyNumberFormat="1" applyFont="1" applyFill="1" applyBorder="1" applyAlignment="1">
      <alignment vertical="center"/>
    </xf>
    <xf numFmtId="176" fontId="5" fillId="3" borderId="1" xfId="0" applyNumberFormat="1" applyFont="1" applyFill="1" applyBorder="1" applyAlignment="1">
      <alignment vertical="center"/>
    </xf>
    <xf numFmtId="176" fontId="5" fillId="6" borderId="1" xfId="0" applyNumberFormat="1" applyFont="1" applyFill="1" applyBorder="1" applyAlignment="1">
      <alignment horizontal="center" vertical="center" wrapText="1"/>
    </xf>
    <xf numFmtId="9" fontId="1" fillId="8" borderId="0" xfId="0" applyNumberFormat="1" applyFont="1" applyFill="1" applyAlignment="1">
      <alignment vertical="center"/>
    </xf>
    <xf numFmtId="9" fontId="1" fillId="0" borderId="0" xfId="0" applyNumberFormat="1" applyFont="1" applyFill="1" applyAlignment="1">
      <alignment vertical="center"/>
    </xf>
    <xf numFmtId="10" fontId="1" fillId="8" borderId="0" xfId="0" applyNumberFormat="1" applyFont="1" applyFill="1" applyAlignment="1">
      <alignment vertical="center"/>
    </xf>
    <xf numFmtId="10" fontId="1" fillId="0" borderId="0" xfId="0" applyNumberFormat="1" applyFont="1" applyFill="1" applyAlignment="1">
      <alignment vertical="center"/>
    </xf>
    <xf numFmtId="0" fontId="1" fillId="8" borderId="0" xfId="0" applyFont="1" applyFill="1" applyAlignment="1">
      <alignment vertical="center"/>
    </xf>
    <xf numFmtId="177" fontId="3" fillId="2" borderId="1" xfId="51" applyNumberFormat="1" applyFont="1" applyFill="1" applyBorder="1" applyAlignment="1">
      <alignment horizontal="center" vertical="center" wrapText="1"/>
    </xf>
    <xf numFmtId="176" fontId="3" fillId="4" borderId="1" xfId="51" applyNumberFormat="1" applyFont="1" applyFill="1" applyBorder="1" applyAlignment="1">
      <alignment horizontal="center" vertical="center" wrapText="1"/>
    </xf>
    <xf numFmtId="178" fontId="3" fillId="2" borderId="1" xfId="51" applyNumberFormat="1" applyFont="1" applyFill="1" applyBorder="1" applyAlignment="1">
      <alignment horizontal="center" vertical="center" wrapText="1"/>
    </xf>
    <xf numFmtId="179" fontId="3" fillId="2" borderId="1" xfId="51" applyNumberFormat="1" applyFont="1" applyFill="1" applyBorder="1" applyAlignment="1">
      <alignment horizontal="center" vertical="center" wrapText="1"/>
    </xf>
    <xf numFmtId="180" fontId="5" fillId="7" borderId="1" xfId="0" applyNumberFormat="1" applyFont="1" applyFill="1" applyBorder="1" applyAlignment="1">
      <alignment vertical="center" wrapText="1"/>
    </xf>
    <xf numFmtId="176" fontId="5" fillId="6" borderId="1" xfId="0" applyNumberFormat="1" applyFont="1" applyFill="1" applyBorder="1" applyAlignment="1">
      <alignment vertical="center"/>
    </xf>
    <xf numFmtId="176" fontId="5" fillId="0" borderId="1" xfId="0" applyNumberFormat="1" applyFont="1" applyFill="1" applyBorder="1" applyAlignment="1">
      <alignment vertical="center"/>
    </xf>
    <xf numFmtId="0" fontId="5" fillId="0" borderId="1" xfId="0" applyFont="1" applyFill="1" applyBorder="1" applyAlignment="1">
      <alignment vertical="center" wrapText="1"/>
    </xf>
    <xf numFmtId="181" fontId="1" fillId="0" borderId="0" xfId="0" applyNumberFormat="1" applyFont="1" applyFill="1" applyAlignment="1">
      <alignment vertical="center"/>
    </xf>
    <xf numFmtId="0" fontId="6" fillId="0" borderId="0" xfId="0" applyFont="1" applyFill="1" applyAlignment="1">
      <alignment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?鹎%U龡&amp;H?_x0008__x001c__x001c_?_x0007__x0001__x0001_" xfId="50"/>
    <cellStyle name="常规 2" xfId="51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B5"/>
  <sheetViews>
    <sheetView tabSelected="1" topLeftCell="C1" workbookViewId="0">
      <selection activeCell="AA2" sqref="AA2"/>
    </sheetView>
  </sheetViews>
  <sheetFormatPr defaultColWidth="9" defaultRowHeight="16.8" outlineLevelRow="4"/>
  <cols>
    <col min="1" max="1" width="2.4375" style="1" customWidth="1"/>
    <col min="2" max="2" width="4.29464285714286" style="1" hidden="1" customWidth="1"/>
    <col min="3" max="3" width="7.19642857142857" style="1" customWidth="1"/>
    <col min="4" max="4" width="6.5" style="2" hidden="1" customWidth="1"/>
    <col min="5" max="5" width="4.41071428571429" style="1" customWidth="1"/>
    <col min="6" max="6" width="7.59821428571429" style="1" customWidth="1"/>
    <col min="7" max="7" width="8.58928571428571" style="1" customWidth="1"/>
    <col min="8" max="8" width="8.24107142857143" style="1" customWidth="1"/>
    <col min="9" max="9" width="8.58928571428571" style="1" customWidth="1"/>
    <col min="10" max="10" width="8.24107142857143" style="1" customWidth="1"/>
    <col min="11" max="11" width="9.96428571428571" style="1" customWidth="1"/>
    <col min="12" max="12" width="7.88392857142857" style="1" customWidth="1"/>
    <col min="13" max="13" width="14.9017857142857" style="1" customWidth="1"/>
    <col min="14" max="14" width="8.24107142857143" style="1" customWidth="1"/>
    <col min="15" max="15" width="6.84821428571429" style="1" customWidth="1"/>
    <col min="16" max="16" width="7.42857142857143" style="1" customWidth="1"/>
    <col min="17" max="17" width="7.77678571428571" style="1" customWidth="1"/>
    <col min="18" max="18" width="7.89285714285714" style="1" customWidth="1"/>
    <col min="19" max="19" width="8.24107142857143" style="1" customWidth="1"/>
    <col min="20" max="20" width="6.38392857142857" style="3" customWidth="1"/>
    <col min="21" max="21" width="8.58928571428571" style="1" customWidth="1"/>
    <col min="22" max="22" width="8.24107142857143" style="1" hidden="1" customWidth="1"/>
    <col min="23" max="23" width="7.42857142857143" style="1" hidden="1" customWidth="1"/>
    <col min="24" max="24" width="8.47321428571429" style="1" customWidth="1"/>
    <col min="25" max="25" width="8.125" style="1" customWidth="1"/>
    <col min="26" max="26" width="9.86607142857143" style="1" customWidth="1"/>
    <col min="27" max="27" width="9.77678571428571" style="1" customWidth="1"/>
    <col min="28" max="28" width="8.35714285714286" style="1" customWidth="1"/>
    <col min="29" max="35" width="8.35714285714286" style="1"/>
    <col min="36" max="36" width="7.88392857142857" style="1" customWidth="1"/>
    <col min="37" max="37" width="14.9017857142857" style="1" customWidth="1"/>
    <col min="38" max="38" width="8.24107142857143" style="1" customWidth="1"/>
    <col min="39" max="16383" width="8.35714285714286" style="1"/>
    <col min="16384" max="16384" width="8.35714285714286"/>
  </cols>
  <sheetData>
    <row r="1" s="1" customFormat="1" ht="41" spans="1:27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12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2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2" t="s">
        <v>16</v>
      </c>
      <c r="R1" s="24" t="s">
        <v>17</v>
      </c>
      <c r="S1" s="24" t="s">
        <v>18</v>
      </c>
      <c r="T1" s="25" t="s">
        <v>19</v>
      </c>
      <c r="U1" s="13" t="s">
        <v>20</v>
      </c>
      <c r="V1" s="26" t="s">
        <v>21</v>
      </c>
      <c r="W1" s="27" t="s">
        <v>22</v>
      </c>
      <c r="X1" s="13" t="s">
        <v>23</v>
      </c>
      <c r="Y1" s="13" t="s">
        <v>24</v>
      </c>
      <c r="Z1" s="13" t="s">
        <v>25</v>
      </c>
      <c r="AA1" s="4" t="s">
        <v>26</v>
      </c>
    </row>
    <row r="2" s="1" customFormat="1" ht="18" customHeight="1" spans="1:28">
      <c r="A2" s="6">
        <v>1</v>
      </c>
      <c r="B2" s="7"/>
      <c r="C2" s="8" t="s">
        <v>27</v>
      </c>
      <c r="D2" s="9"/>
      <c r="E2" s="14" t="s">
        <v>28</v>
      </c>
      <c r="F2" s="15">
        <v>20028</v>
      </c>
      <c r="G2" s="16">
        <v>3204.48</v>
      </c>
      <c r="H2" s="17">
        <v>1602.24</v>
      </c>
      <c r="I2" s="16">
        <v>140.2</v>
      </c>
      <c r="J2" s="17">
        <v>60.08</v>
      </c>
      <c r="K2" s="16">
        <v>32.04</v>
      </c>
      <c r="L2" s="15">
        <v>20028</v>
      </c>
      <c r="M2" s="16">
        <v>1602.24</v>
      </c>
      <c r="N2" s="17">
        <v>400.56</v>
      </c>
      <c r="O2" s="16"/>
      <c r="P2" s="17"/>
      <c r="Q2" s="15">
        <v>19349</v>
      </c>
      <c r="R2" s="16">
        <v>967</v>
      </c>
      <c r="S2" s="17">
        <v>967</v>
      </c>
      <c r="T2" s="18"/>
      <c r="U2" s="28"/>
      <c r="V2" s="29"/>
      <c r="W2" s="29"/>
      <c r="X2" s="30">
        <f>H2+J2+N2+P2+S2</f>
        <v>3029.88</v>
      </c>
      <c r="Y2" s="30">
        <f>G2+I2+K2+M2+O2+R2+U2+W2</f>
        <v>5945.96</v>
      </c>
      <c r="Z2" s="30">
        <f>X2+Y2</f>
        <v>8975.84</v>
      </c>
      <c r="AA2" s="31" t="s">
        <v>29</v>
      </c>
      <c r="AB2" s="3"/>
    </row>
    <row r="3" s="1" customFormat="1" ht="28" spans="1:27">
      <c r="A3" s="6" t="s">
        <v>30</v>
      </c>
      <c r="B3" s="7"/>
      <c r="C3" s="8"/>
      <c r="D3" s="10"/>
      <c r="E3" s="14"/>
      <c r="F3" s="18">
        <f>SUM(F2:F2)</f>
        <v>20028</v>
      </c>
      <c r="G3" s="18">
        <f t="shared" ref="G3:Z3" si="0">SUM(G2:G2)</f>
        <v>3204.48</v>
      </c>
      <c r="H3" s="18">
        <f t="shared" si="0"/>
        <v>1602.24</v>
      </c>
      <c r="I3" s="18">
        <f t="shared" si="0"/>
        <v>140.2</v>
      </c>
      <c r="J3" s="18">
        <f t="shared" si="0"/>
        <v>60.08</v>
      </c>
      <c r="K3" s="18">
        <f t="shared" si="0"/>
        <v>32.04</v>
      </c>
      <c r="L3" s="18">
        <f t="shared" si="0"/>
        <v>20028</v>
      </c>
      <c r="M3" s="18">
        <f t="shared" si="0"/>
        <v>1602.24</v>
      </c>
      <c r="N3" s="18">
        <f t="shared" si="0"/>
        <v>400.56</v>
      </c>
      <c r="O3" s="18">
        <f t="shared" si="0"/>
        <v>0</v>
      </c>
      <c r="P3" s="18">
        <f t="shared" si="0"/>
        <v>0</v>
      </c>
      <c r="Q3" s="18">
        <f t="shared" si="0"/>
        <v>19349</v>
      </c>
      <c r="R3" s="18">
        <f t="shared" si="0"/>
        <v>967</v>
      </c>
      <c r="S3" s="18">
        <f t="shared" si="0"/>
        <v>967</v>
      </c>
      <c r="T3" s="18">
        <f t="shared" si="0"/>
        <v>0</v>
      </c>
      <c r="U3" s="18">
        <f t="shared" si="0"/>
        <v>0</v>
      </c>
      <c r="V3" s="18">
        <f t="shared" si="0"/>
        <v>0</v>
      </c>
      <c r="W3" s="18">
        <f t="shared" si="0"/>
        <v>0</v>
      </c>
      <c r="X3" s="18">
        <f t="shared" si="0"/>
        <v>3029.88</v>
      </c>
      <c r="Y3" s="18">
        <f t="shared" si="0"/>
        <v>5945.96</v>
      </c>
      <c r="Z3" s="18">
        <f t="shared" si="0"/>
        <v>8975.84</v>
      </c>
      <c r="AA3" s="31"/>
    </row>
    <row r="4" s="1" customFormat="1" spans="4:20">
      <c r="D4" s="2"/>
      <c r="T4" s="3"/>
    </row>
    <row r="5" s="1" customFormat="1" spans="2:27">
      <c r="B5" s="11"/>
      <c r="D5" s="2"/>
      <c r="G5" s="19"/>
      <c r="H5" s="20"/>
      <c r="I5" s="21"/>
      <c r="J5" s="22"/>
      <c r="K5" s="21"/>
      <c r="M5" s="19"/>
      <c r="N5" s="20"/>
      <c r="O5" s="23"/>
      <c r="R5" s="19"/>
      <c r="S5" s="20"/>
      <c r="T5" s="3"/>
      <c r="U5" s="19"/>
      <c r="X5" s="22"/>
      <c r="Z5" s="32"/>
      <c r="AA5" s="33"/>
    </row>
  </sheetData>
  <pageMargins left="0.275" right="0.393055555555556" top="1" bottom="1" header="0.511805555555556" footer="0.511805555555556"/>
  <pageSetup paperSize="9" scale="76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Xiang Wang</cp:lastModifiedBy>
  <dcterms:created xsi:type="dcterms:W3CDTF">2021-06-09T22:14:00Z</dcterms:created>
  <dcterms:modified xsi:type="dcterms:W3CDTF">2026-03-02T06:59:53Z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2052-12.1.23155.23155</vt:lpwstr>
  </property>
  <property fmtid="{D5CDD505-2E9C-101B-9397-08002B2CF9AE}" pid="3" name="ICV">
    <vt:lpwstr>0CADA626817C432084EE649B722A01BE_13</vt:lpwstr>
  </property>
  <property fmtid="{D5CDD505-2E9C-101B-9397-08002B2CF9AE}" pid="4" name="CalculationRule">
    <vt:i4>0</vt:i4>
  </property>
</Properties>
</file>